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<sst xmlns="http://schemas.openxmlformats.org/spreadsheetml/2006/main" count="48" uniqueCount="44">
  <si>
    <t xml:space="preserve">Khydrolysis 10−5 (sec−1)</t>
  </si>
  <si>
    <t xml:space="preserve">Relative RAF kinase affinity (nmol/L)</t>
  </si>
  <si>
    <t xml:space="preserve">Intrinsic</t>
  </si>
  <si>
    <t xml:space="preserve">P120GAP Stimulated</t>
  </si>
  <si>
    <t xml:space="preserve">Haigis Activation Score</t>
  </si>
  <si>
    <t xml:space="preserve">WT</t>
  </si>
  <si>
    <t xml:space="preserve">±3.5 </t>
  </si>
  <si>
    <t xml:space="preserve">±100 </t>
  </si>
  <si>
    <t xml:space="preserve">WT </t>
  </si>
  <si>
    <t xml:space="preserve">±6 </t>
  </si>
  <si>
    <t xml:space="preserve">G12A</t>
  </si>
  <si>
    <t xml:space="preserve">±0.06 </t>
  </si>
  <si>
    <t xml:space="preserve">±0.8 </t>
  </si>
  <si>
    <t xml:space="preserve">G12A </t>
  </si>
  <si>
    <t xml:space="preserve">±12 </t>
  </si>
  <si>
    <t xml:space="preserve">G12C</t>
  </si>
  <si>
    <t xml:space="preserve">±1.8 </t>
  </si>
  <si>
    <t xml:space="preserve">±3 </t>
  </si>
  <si>
    <t xml:space="preserve">G12C </t>
  </si>
  <si>
    <t xml:space="preserve">G12D</t>
  </si>
  <si>
    <t xml:space="preserve">±1 </t>
  </si>
  <si>
    <t xml:space="preserve">±8 </t>
  </si>
  <si>
    <t xml:space="preserve">G12D </t>
  </si>
  <si>
    <t xml:space="preserve">±46 </t>
  </si>
  <si>
    <t xml:space="preserve">G12R</t>
  </si>
  <si>
    <t xml:space="preserve">±0.07 </t>
  </si>
  <si>
    <t xml:space="preserve">G12R </t>
  </si>
  <si>
    <t xml:space="preserve">±29 </t>
  </si>
  <si>
    <t xml:space="preserve">G12V</t>
  </si>
  <si>
    <t xml:space="preserve">±0.2 </t>
  </si>
  <si>
    <t xml:space="preserve">G12V </t>
  </si>
  <si>
    <t xml:space="preserve">±40 </t>
  </si>
  <si>
    <t xml:space="preserve">G13D</t>
  </si>
  <si>
    <t xml:space="preserve">±5 </t>
  </si>
  <si>
    <t xml:space="preserve">G13D </t>
  </si>
  <si>
    <t xml:space="preserve">±15 </t>
  </si>
  <si>
    <t xml:space="preserve">Q61L</t>
  </si>
  <si>
    <t xml:space="preserve">±0.05 </t>
  </si>
  <si>
    <t xml:space="preserve">±0.7 </t>
  </si>
  <si>
    <t xml:space="preserve">Q61L </t>
  </si>
  <si>
    <t xml:space="preserve">±26 </t>
  </si>
  <si>
    <t xml:space="preserve">Q61H</t>
  </si>
  <si>
    <t xml:space="preserve">±0.03 </t>
  </si>
  <si>
    <t xml:space="preserve">±0.6 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</si>
</sst>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0"/>
      <name val="Times New Roman"/>
      <family val="1"/>
      <charset val="1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J13" activeCellId="0" sqref="J13"/>
    </sheetView>
  </sheetViews>
  <sheetFormatPr defaultColWidth="11.53515625" defaultRowHeight="12.8" zeroHeight="false" outlineLevelRow="0" outlineLevelCol="0"/>
  <sheetData>
    <row r="1" customFormat="false" ht="12.8" hidden="false" customHeight="true" outlineLevel="0" collapsed="false">
      <c r="A1" s="1" t="s">
        <v>0</v>
      </c>
      <c r="B1" s="1"/>
      <c r="C1" s="1"/>
      <c r="D1" s="1"/>
      <c r="E1" s="1"/>
      <c r="G1" s="2" t="s">
        <v>1</v>
      </c>
      <c r="H1" s="2"/>
      <c r="I1" s="2"/>
    </row>
    <row r="2" customFormat="false" ht="12.8" hidden="false" customHeight="true" outlineLevel="0" collapsed="false">
      <c r="A2" s="3"/>
      <c r="B2" s="2" t="s">
        <v>2</v>
      </c>
      <c r="C2" s="2"/>
      <c r="D2" s="2" t="s">
        <v>3</v>
      </c>
      <c r="E2" s="2"/>
      <c r="K2" s="4" t="s">
        <v>4</v>
      </c>
    </row>
    <row r="3" customFormat="false" ht="12.8" hidden="false" customHeight="false" outlineLevel="0" collapsed="false">
      <c r="A3" s="5" t="s">
        <v>5</v>
      </c>
      <c r="B3" s="5" t="n">
        <v>68</v>
      </c>
      <c r="C3" s="5" t="s">
        <v>6</v>
      </c>
      <c r="D3" s="5" t="n">
        <v>4300</v>
      </c>
      <c r="E3" s="5" t="s">
        <v>7</v>
      </c>
      <c r="G3" s="5" t="s">
        <v>8</v>
      </c>
      <c r="H3" s="5" t="n">
        <v>56</v>
      </c>
      <c r="I3" s="5" t="s">
        <v>9</v>
      </c>
      <c r="K3" s="4" t="n">
        <f aca="false">B3*H3</f>
        <v>3808</v>
      </c>
    </row>
    <row r="4" customFormat="false" ht="12.8" hidden="false" customHeight="false" outlineLevel="0" collapsed="false">
      <c r="A4" s="5" t="s">
        <v>10</v>
      </c>
      <c r="B4" s="5" t="n">
        <v>1.3</v>
      </c>
      <c r="C4" s="5" t="s">
        <v>11</v>
      </c>
      <c r="D4" s="5" t="n">
        <v>32</v>
      </c>
      <c r="E4" s="5" t="s">
        <v>12</v>
      </c>
      <c r="G4" s="5" t="s">
        <v>13</v>
      </c>
      <c r="H4" s="5" t="n">
        <v>127</v>
      </c>
      <c r="I4" s="5" t="s">
        <v>14</v>
      </c>
      <c r="K4" s="4" t="n">
        <f aca="false">B4*H4</f>
        <v>165.1</v>
      </c>
    </row>
    <row r="5" customFormat="false" ht="12.8" hidden="false" customHeight="false" outlineLevel="0" collapsed="false">
      <c r="A5" s="5" t="s">
        <v>15</v>
      </c>
      <c r="B5" s="5" t="n">
        <v>49</v>
      </c>
      <c r="C5" s="5" t="s">
        <v>16</v>
      </c>
      <c r="D5" s="5" t="n">
        <v>20</v>
      </c>
      <c r="E5" s="5" t="s">
        <v>17</v>
      </c>
      <c r="G5" s="5" t="s">
        <v>18</v>
      </c>
      <c r="H5" s="5" t="n">
        <v>67</v>
      </c>
      <c r="I5" s="5" t="s">
        <v>14</v>
      </c>
      <c r="K5" s="4" t="n">
        <f aca="false">B5*H5</f>
        <v>3283</v>
      </c>
    </row>
    <row r="6" customFormat="false" ht="12.8" hidden="false" customHeight="false" outlineLevel="0" collapsed="false">
      <c r="A6" s="5" t="s">
        <v>19</v>
      </c>
      <c r="B6" s="5" t="n">
        <v>19</v>
      </c>
      <c r="C6" s="5" t="s">
        <v>20</v>
      </c>
      <c r="D6" s="5" t="n">
        <v>89</v>
      </c>
      <c r="E6" s="5" t="s">
        <v>21</v>
      </c>
      <c r="G6" s="5" t="s">
        <v>22</v>
      </c>
      <c r="H6" s="5" t="n">
        <v>270</v>
      </c>
      <c r="I6" s="5" t="s">
        <v>23</v>
      </c>
      <c r="K6" s="4" t="n">
        <f aca="false">B6*H6</f>
        <v>5130</v>
      </c>
    </row>
    <row r="7" customFormat="false" ht="12.8" hidden="false" customHeight="false" outlineLevel="0" collapsed="false">
      <c r="A7" s="5" t="s">
        <v>24</v>
      </c>
      <c r="B7" s="5" t="n">
        <v>1.8</v>
      </c>
      <c r="C7" s="5" t="s">
        <v>25</v>
      </c>
      <c r="D7" s="5" t="n">
        <v>20</v>
      </c>
      <c r="E7" s="5" t="s">
        <v>12</v>
      </c>
      <c r="G7" s="5" t="s">
        <v>26</v>
      </c>
      <c r="H7" s="5" t="n">
        <v>348</v>
      </c>
      <c r="I7" s="5" t="s">
        <v>27</v>
      </c>
      <c r="K7" s="4" t="n">
        <f aca="false">B7*H7</f>
        <v>626.4</v>
      </c>
    </row>
    <row r="8" customFormat="false" ht="12.8" hidden="false" customHeight="false" outlineLevel="0" collapsed="false">
      <c r="A8" s="5" t="s">
        <v>28</v>
      </c>
      <c r="B8" s="5" t="n">
        <v>4.2</v>
      </c>
      <c r="C8" s="5" t="s">
        <v>29</v>
      </c>
      <c r="D8" s="5" t="n">
        <v>24</v>
      </c>
      <c r="E8" s="5" t="s">
        <v>20</v>
      </c>
      <c r="G8" s="5" t="s">
        <v>30</v>
      </c>
      <c r="H8" s="5" t="n">
        <v>411</v>
      </c>
      <c r="I8" s="5" t="s">
        <v>31</v>
      </c>
      <c r="K8" s="4" t="n">
        <f aca="false">B8*H8</f>
        <v>1726.2</v>
      </c>
    </row>
    <row r="9" customFormat="false" ht="12.8" hidden="false" customHeight="false" outlineLevel="0" collapsed="false">
      <c r="A9" s="5" t="s">
        <v>32</v>
      </c>
      <c r="B9" s="5" t="n">
        <v>9.6</v>
      </c>
      <c r="C9" s="5" t="s">
        <v>29</v>
      </c>
      <c r="D9" s="5" t="n">
        <v>20</v>
      </c>
      <c r="E9" s="5" t="s">
        <v>33</v>
      </c>
      <c r="G9" s="5" t="s">
        <v>34</v>
      </c>
      <c r="H9" s="5" t="n">
        <v>129</v>
      </c>
      <c r="I9" s="5" t="s">
        <v>35</v>
      </c>
      <c r="K9" s="4" t="n">
        <f aca="false">B9*H9</f>
        <v>1238.4</v>
      </c>
    </row>
    <row r="10" customFormat="false" ht="12.8" hidden="false" customHeight="false" outlineLevel="0" collapsed="false">
      <c r="A10" s="5" t="s">
        <v>36</v>
      </c>
      <c r="B10" s="5" t="n">
        <v>0.8</v>
      </c>
      <c r="C10" s="5" t="s">
        <v>37</v>
      </c>
      <c r="D10" s="5" t="n">
        <v>12</v>
      </c>
      <c r="E10" s="5" t="s">
        <v>38</v>
      </c>
      <c r="G10" s="5" t="s">
        <v>39</v>
      </c>
      <c r="H10" s="5" t="n">
        <v>134</v>
      </c>
      <c r="I10" s="5" t="s">
        <v>40</v>
      </c>
      <c r="K10" s="4" t="n">
        <f aca="false">B10*H10</f>
        <v>107.2</v>
      </c>
    </row>
    <row r="11" customFormat="false" ht="12.8" hidden="false" customHeight="false" outlineLevel="0" collapsed="false">
      <c r="A11" s="5" t="s">
        <v>41</v>
      </c>
      <c r="B11" s="5" t="n">
        <v>1.3</v>
      </c>
      <c r="C11" s="5" t="s">
        <v>42</v>
      </c>
      <c r="D11" s="5" t="n">
        <v>5</v>
      </c>
      <c r="E11" s="5" t="s">
        <v>43</v>
      </c>
      <c r="K11" s="4"/>
    </row>
  </sheetData>
  <mergeCells count="4">
    <mergeCell ref="A1:E1"/>
    <mergeCell ref="G1:I1"/>
    <mergeCell ref="B2:C2"/>
    <mergeCell ref="D2:E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133</TotalTime>
  <Application>LibreOffice/7.5.1.2$Linux_X86_64 LibreOffice_project/50$Build-2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2023-05-08T13:51:11Z</dcterms:created>
  <dc:creator>Michael Nicholson</dc:creator>
  <dc:description/>
  <dc:language>en-GB</dc:language>
  <cp:lastModifiedBy>Michael Nicholson</cp:lastModifiedBy>
  <dcterms:modified xsi:type="dcterms:W3CDTF">2023-05-08T16:11:35Z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